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3e06d2bdc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ac7b0be8d2b64180"/>
    <x:sheet xmlns:r="http://schemas.openxmlformats.org/officeDocument/2006/relationships" name="Follow-up" sheetId="2" r:id="Rdbaebc053ec74845"/>
    <x:sheet xmlns:r="http://schemas.openxmlformats.org/officeDocument/2006/relationships" name="Excluded" sheetId="3" r:id="Recfa6b1295014a8f"/>
    <x:sheet xmlns:r="http://schemas.openxmlformats.org/officeDocument/2006/relationships" name="Coverage" sheetId="4" r:id="Rfec8a4e659eb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183852"/>
      <x:name val="Arial"/>
    </x:font>
    <x:font>
      <x:sz val="10"/>
      <x:color rgb="FF4A5C6B"/>
      <x:name val="Arial"/>
    </x:font>
    <x:font>
      <x:sz val="10"/>
      <x:color rgb="FF243746"/>
      <x:name val="Arial"/>
    </x:font>
    <x:font>
      <x:b/>
      <x:sz val="10"/>
      <x:color rgb="FFFFFFFF"/>
      <x:name val="Arial"/>
    </x:font>
    <x:font>
      <x:sz val="10"/>
      <x:color rgb="FF1761A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a058996164a16" /><Relationship Type="http://schemas.openxmlformats.org/officeDocument/2006/relationships/theme" Target="/xl/theme/theme1.xml" Id="R2c0e6071227142c8" /><Relationship Type="http://schemas.openxmlformats.org/officeDocument/2006/relationships/sharedStrings" Target="/xl/sharedStrings.xml" Id="R106d34b99e0e4d3f" /><Relationship Type="http://schemas.openxmlformats.org/officeDocument/2006/relationships/worksheet" Target="/xl/worksheets/sheet1.xml" Id="Rac7b0be8d2b64180" /><Relationship Type="http://schemas.openxmlformats.org/officeDocument/2006/relationships/worksheet" Target="/xl/worksheets/sheet2.xml" Id="Rdbaebc053ec74845" /><Relationship Type="http://schemas.openxmlformats.org/officeDocument/2006/relationships/worksheet" Target="/xl/worksheets/sheet3.xml" Id="Recfa6b1295014a8f" /><Relationship Type="http://schemas.openxmlformats.org/officeDocument/2006/relationships/worksheet" Target="/xl/worksheets/sheet4.xml" Id="Rfec8a4e659eb45d4" /></Relationships>
</file>

<file path=xl/tables/table1.xml><?xml version="1.0" encoding="utf-8"?>
<x:table xmlns:x="http://schemas.openxmlformats.org/spreadsheetml/2006/main" id="1" name="MatchesTable" displayName="MatchesTable" ref="A5:N7" headerRowCount="1" totalsRowCount="0" totalsRowShown="0">
  <x:tableColumns count="14">
    <x:tableColumn id="1" name="Employer"/>
    <x:tableColumn id="2" name="Position"/>
    <x:tableColumn id="3" name="Location"/>
    <x:tableColumn id="4" name="Start"/>
    <x:tableColumn id="5" name="Duration"/>
    <x:tableColumn id="6" name="Assessment"/>
    <x:tableColumn id="7" name="Next step"/>
    <x:tableColumn id="8" name="Pay as posted"/>
    <x:tableColumn id="9" name="Deadline"/>
    <x:tableColumn id="10" name="Job ID"/>
    <x:tableColumn id="11" name="First found"/>
    <x:tableColumn id="12" name="Verified on"/>
    <x:tableColumn id="13" name="Source link"/>
    <x:tableColumn id="1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Table" displayName="FollowupTable" ref="A5:N16" headerRowCount="1" totalsRowCount="0" totalsRowShown="0">
  <x:tableColumns count="14">
    <x:tableColumn id="1" name="Employer"/>
    <x:tableColumn id="2" name="Position"/>
    <x:tableColumn id="3" name="Location"/>
    <x:tableColumn id="4" name="Start"/>
    <x:tableColumn id="5" name="Duration"/>
    <x:tableColumn id="6" name="Assessment"/>
    <x:tableColumn id="7" name="Next step"/>
    <x:tableColumn id="8" name="Pay as posted"/>
    <x:tableColumn id="9" name="Deadline"/>
    <x:tableColumn id="10" name="Job ID"/>
    <x:tableColumn id="11" name="First found"/>
    <x:tableColumn id="12" name="Verified on"/>
    <x:tableColumn id="13" name="Source link"/>
    <x:tableColumn id="1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Table" displayName="ExcludedTable" ref="A5:N11" headerRowCount="1" totalsRowCount="0" totalsRowShown="0">
  <x:tableColumns count="14">
    <x:tableColumn id="1" name="Employer"/>
    <x:tableColumn id="2" name="Position"/>
    <x:tableColumn id="3" name="Location"/>
    <x:tableColumn id="4" name="Start"/>
    <x:tableColumn id="5" name="Duration"/>
    <x:tableColumn id="6" name="Assessment"/>
    <x:tableColumn id="7" name="Next step"/>
    <x:tableColumn id="8" name="Pay as posted"/>
    <x:tableColumn id="9" name="Deadline"/>
    <x:tableColumn id="10" name="Job ID"/>
    <x:tableColumn id="11" name="First found"/>
    <x:tableColumn id="12" name="Verified on"/>
    <x:tableColumn id="13" name="Source link"/>
    <x:tableColumn id="14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Table" displayName="CoverageTable" ref="A5:E34" headerRowCount="1" totalsRowCount="0" totalsRowShown="0">
  <x:tableColumns count="5">
    <x:tableColumn id="1" name="Source"/>
    <x:tableColumn id="2" name="Method"/>
    <x:tableColumn id="3" name="Outcome / limitation"/>
    <x:tableColumn id="4" name="Checked on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435f16d7f44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2e267ef64b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d907dfe72747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d41751e3e44ea1" /></Relationships>
</file>

<file path=xl/worksheets/sheet1.xml><?xml version="1.0" encoding="utf-8"?>
<x:worksheet xmlns:x="http://schemas.openxmlformats.org/spreadsheetml/2006/main">
  <x:sheetPr>
    <x:tabColor rgb="FF24465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46" hidden="0" customWidth="1"/>
    <x:col min="3" max="3" width="23" hidden="0" customWidth="1"/>
    <x:col min="4" max="4" width="24" hidden="0" customWidth="1"/>
    <x:col min="5" max="5" width="24" hidden="0" customWidth="1"/>
    <x:col min="6" max="6" width="66" hidden="0" customWidth="1"/>
    <x:col min="7" max="7" width="60" hidden="0" customWidth="1"/>
    <x:col min="8" max="8" width="31" hidden="0" customWidth="1"/>
    <x:col min="9" max="9" width="25" hidden="0" customWidth="1"/>
    <x:col min="10" max="10" width="21" hidden="0" customWidth="1"/>
    <x:col min="11" max="11" width="18" hidden="0" customWidth="1"/>
    <x:col min="12" max="12" width="18" hidden="0" customWidth="1"/>
    <x:col min="13" max="13" width="20" hidden="0" customWidth="1"/>
    <x:col min="14" max="14" width="72" hidden="0" customWidth="1"/>
  </x:cols>
  <x:sheetData>
    <x:row r="2">
      <x:c r="A2" s="1" t="str">
        <x:v>Engineering co-op search — matches</x:v>
      </x:c>
    </x:row>
    <x:row r="3">
      <x:c r="A3" s="2" t="str">
        <x:v>Checked 2026-09-23. Two verified postings. May 2027 onwards; 12/16-month options only.</x:v>
      </x:c>
    </x:row>
    <x:row r="5" ht="30" customHeight="1">
      <x:c r="A5" s="8" t="str">
        <x:v>Employer</x:v>
      </x:c>
      <x:c r="B5" s="8" t="str">
        <x:v>Position</x:v>
      </x:c>
      <x:c r="C5" s="8" t="str">
        <x:v>Location</x:v>
      </x:c>
      <x:c r="D5" s="8" t="str">
        <x:v>Start</x:v>
      </x:c>
      <x:c r="E5" s="8" t="str">
        <x:v>Duration</x:v>
      </x:c>
      <x:c r="F5" s="8" t="str">
        <x:v>Assessment</x:v>
      </x:c>
      <x:c r="G5" s="8" t="str">
        <x:v>Next step</x:v>
      </x:c>
      <x:c r="H5" s="8" t="str">
        <x:v>Pay as posted</x:v>
      </x:c>
      <x:c r="I5" s="8" t="str">
        <x:v>Deadline</x:v>
      </x:c>
      <x:c r="J5" s="8" t="str">
        <x:v>Job ID</x:v>
      </x:c>
      <x:c r="K5" s="8" t="str">
        <x:v>First found</x:v>
      </x:c>
      <x:c r="L5" s="8" t="str">
        <x:v>Verified on</x:v>
      </x:c>
      <x:c r="M5" s="8" t="str">
        <x:v>Source link</x:v>
      </x:c>
      <x:c r="N5" s="8" t="str">
        <x:v>Evidence</x:v>
      </x:c>
    </x:row>
    <x:row r="6" ht="66" customHeight="1">
      <x:c r="A6" s="5" t="str">
        <x:v>AMD</x:v>
      </x:c>
      <x:c r="B6" s="5" t="str">
        <x:v>Summer 2027 Long Term Thermal Mechanical Test Engineer Intern/Co-op</x:v>
      </x:c>
      <x:c r="C6" s="5" t="str">
        <x:v>Markham, ON</x:v>
      </x:c>
      <x:c r="D6" s="5" t="str">
        <x:v>May 2027</x:v>
      </x:c>
      <x:c r="E6" s="5" t="str">
        <x:v>16 months (May 2027–August 2028)</x:v>
      </x:c>
      <x:c r="F6" s="5" t="str">
        <x:v>Thermal validation, mechanical/acoustic testing, failure analysis and lab automation. Strong mechanical engineering relevance; Python/Ruby and data-analysis experience are useful.</x:v>
      </x:c>
      <x:c r="G6" s="5" t="str">
        <x:v>Review and apply through employer. Check expectations for programming and lab experience; exact workplace and commute should be confirmed.</x:v>
      </x:c>
      <x:c r="H6" s="5" t="str">
        <x:v>CAD 67,000/year</x:v>
      </x:c>
      <x:c r="I6" s="5" t="str">
        <x:v>Not stated</x:v>
      </x:c>
      <x:c r="J6" s="5" t="str">
        <x:v>90980</x:v>
      </x:c>
      <x:c r="K6" s="9" t="n">
        <x:v>46288</x:v>
      </x:c>
      <x:c r="L6" s="9" t="n">
        <x:v>46288</x:v>
      </x:c>
      <x:c r="M6" s="10" t="e">
        <x:f>HYPERLINK("https://careers.amd.com/careers-home/jobs/90980","View posting")</x:f>
        <x:v>HYPERLINK is not implemented. linkLocation=https://careers.amd.com/careers-home/jobs/90980, friendlyName=View posting</x:v>
      </x:c>
      <x:c r="N6" s="5" t="str">
        <x:v>Employer live page read in browser on 2026-09-23. Duration: May 2027 to August 2028. Undergraduate co-op context and Mechanical Engineering specified.</x:v>
      </x:c>
    </x:row>
    <x:row r="7" ht="66" customHeight="1">
      <x:c r="A7" s="5" t="str">
        <x:v>Procter &amp; Gamble</x:v>
      </x:c>
      <x:c r="B7" s="5" t="str">
        <x:v>Manufacturing &amp; Engineering Technical Co-Op – May 2027 Start</x:v>
      </x:c>
      <x:c r="C7" s="5" t="str">
        <x:v>Belleville, ON</x:v>
      </x:c>
      <x:c r="D7" s="5" t="str">
        <x:v>May 2027</x:v>
      </x:c>
      <x:c r="E7" s="5" t="str">
        <x:v>12-month option (also offers 4/8)</x:v>
      </x:c>
      <x:c r="F7" s="5" t="str">
        <x:v>Manufacturing projects in process control, systems and quality improvement. Mechanical students who have completed three years are among the preferred applicants.</x:v>
      </x:c>
      <x:c r="G7" s="5" t="str">
        <x:v>Apply for the 12-month option. Assess relocation; employer reviews applications on a rolling basis and requires assessments. Work authorization sponsorship is not offered.</x:v>
      </x:c>
      <x:c r="H7" s="5" t="str">
        <x:v>CAD 5,170/month</x:v>
      </x:c>
      <x:c r="I7" s="5" t="str">
        <x:v>Rolling review; no fixed date stated</x:v>
      </x:c>
      <x:c r="J7" s="5" t="str">
        <x:v>R000158888</x:v>
      </x:c>
      <x:c r="K7" s="9" t="n">
        <x:v>46288</x:v>
      </x:c>
      <x:c r="L7" s="9" t="n">
        <x:v>46288</x:v>
      </x:c>
      <x:c r="M7" s="10" t="e">
        <x:f>HYPERLINK("https://pg.wd5.myworkdayjobs.com/1000/job/Belleville/Manufacturing---Engineering-Technical-Co-Op---May-2027-Start_R000158888","View posting")</x:f>
        <x:v>HYPERLINK is not implemented. linkLocation=https://pg.wd5.myworkdayjobs.com/1000/job/Belleville/Manufacturing---Engineering-Technical-Co-Op---May-2027-Start_R000158888, friendlyName=View posting</x:v>
      </x:c>
      <x:c r="N7" s="5" t="str">
        <x:v>Employer live Workday page read in browser on 2026-09-23. Placement offers 4, 8 and 12 months from May 2027; select the 12-month option.</x:v>
      </x:c>
    </x:row>
    <x:row r="10">
      <x:c r="A10" t="str">
        <x:v>All Ontario included. Newmarket proximity is a preference only. Exact workplace distances are unverified.</x:v>
      </x:c>
    </x:row>
    <x:row r="11">
      <x:c r="A11" t="str">
        <x:v>Verified refers to posting criteria, not guaranteed individual eligibility. No applications or emails have been sent.</x:v>
      </x:c>
    </x:row>
  </x:sheetData>
  <x:pageMargins left="0.7" right="0.7" top="0.75" bottom="0.75" header="0.3" footer="0.3"/>
  <x:tableParts count="1">
    <x:tablePart xmlns:r="http://schemas.openxmlformats.org/officeDocument/2006/relationships" r:id="R00c435f16d7f44ff"/>
  </x:tableParts>
</x:worksheet>
</file>

<file path=xl/worksheets/sheet2.xml><?xml version="1.0" encoding="utf-8"?>
<x:worksheet xmlns:x="http://schemas.openxmlformats.org/spreadsheetml/2006/main">
  <x:sheetPr>
    <x:tabColor rgb="FFB57B2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46" hidden="0" customWidth="1"/>
    <x:col min="3" max="3" width="23" hidden="0" customWidth="1"/>
    <x:col min="4" max="4" width="24" hidden="0" customWidth="1"/>
    <x:col min="5" max="5" width="24" hidden="0" customWidth="1"/>
    <x:col min="6" max="6" width="66" hidden="0" customWidth="1"/>
    <x:col min="7" max="7" width="60" hidden="0" customWidth="1"/>
    <x:col min="8" max="8" width="31" hidden="0" customWidth="1"/>
    <x:col min="9" max="9" width="25" hidden="0" customWidth="1"/>
    <x:col min="10" max="10" width="21" hidden="0" customWidth="1"/>
    <x:col min="11" max="11" width="18" hidden="0" customWidth="1"/>
    <x:col min="12" max="12" width="18" hidden="0" customWidth="1"/>
    <x:col min="13" max="13" width="20" hidden="0" customWidth="1"/>
    <x:col min="14" max="14" width="72" hidden="0" customWidth="1"/>
  </x:cols>
  <x:sheetData>
    <x:row r="2">
      <x:c r="A2" s="1" t="str">
        <x:v>Engineering co-op search — follow-up</x:v>
      </x:c>
    </x:row>
    <x:row r="3">
      <x:c r="A3" s="2" t="str">
        <x:v>Eleven leads: posting details and/or individual eligibility need confirmation. All Ontario; no distance cutoff.</x:v>
      </x:c>
    </x:row>
    <x:row r="5" ht="30" customHeight="1">
      <x:c r="A5" s="8" t="str">
        <x:v>Employer</x:v>
      </x:c>
      <x:c r="B5" s="8" t="str">
        <x:v>Position</x:v>
      </x:c>
      <x:c r="C5" s="8" t="str">
        <x:v>Location</x:v>
      </x:c>
      <x:c r="D5" s="8" t="str">
        <x:v>Start</x:v>
      </x:c>
      <x:c r="E5" s="8" t="str">
        <x:v>Duration</x:v>
      </x:c>
      <x:c r="F5" s="8" t="str">
        <x:v>Assessment</x:v>
      </x:c>
      <x:c r="G5" s="8" t="str">
        <x:v>Next step</x:v>
      </x:c>
      <x:c r="H5" s="8" t="str">
        <x:v>Pay as posted</x:v>
      </x:c>
      <x:c r="I5" s="8" t="str">
        <x:v>Deadline</x:v>
      </x:c>
      <x:c r="J5" s="8" t="str">
        <x:v>Job ID</x:v>
      </x:c>
      <x:c r="K5" s="8" t="str">
        <x:v>First found</x:v>
      </x:c>
      <x:c r="L5" s="8" t="str">
        <x:v>Verified on</x:v>
      </x:c>
      <x:c r="M5" s="8" t="str">
        <x:v>Source link</x:v>
      </x:c>
      <x:c r="N5" s="8" t="str">
        <x:v>Evidence</x:v>
      </x:c>
    </x:row>
    <x:row r="6" ht="66" customHeight="1">
      <x:c r="A6" s="5" t="str">
        <x:v>Celestica</x:v>
      </x:c>
      <x:c r="B6" s="5" t="str">
        <x:v>Student Intern, Materials Engineering Lab</x:v>
      </x:c>
      <x:c r="C6" s="5" t="str">
        <x:v>Newmarket, ON</x:v>
      </x:c>
      <x:c r="D6" s="5" t="str">
        <x:v>May 2027</x:v>
      </x:c>
      <x:c r="E6" s="5" t="str">
        <x:v>16 months</x:v>
      </x:c>
      <x:c r="F6" s="5" t="str">
        <x:v>Local manufacturing/reliability lab work, but the stated degree requirement is Materials Engineering.</x:v>
      </x:c>
      <x:c r="G6" s="5" t="str">
        <x:v>Retained under broader engineering scope. Ask whether a Mechanical Engineering student is eligible; listed degrees differ.</x:v>
      </x:c>
      <x:c r="H6" s="5" t="str">
        <x:v>CAD 23–30/hour</x:v>
      </x:c>
      <x:c r="I6" s="5" t="str">
        <x:v>Not stated</x:v>
      </x:c>
      <x:c r="J6" s="5" t="str">
        <x:v>1439146033</x:v>
      </x:c>
      <x:c r="K6" s="9" t="n">
        <x:v>46288</x:v>
      </x:c>
      <x:c r="L6" s="9" t="n">
        <x:v>46288</x:v>
      </x:c>
      <x:c r="M6" s="10" t="e">
        <x:f>HYPERLINK("https://careers.celestica.com/job/Newmarket-Student-Intern,-Materials-Engineering-Lab-ON/1439146033/","View posting")</x:f>
        <x:v>HYPERLINK is not implemented. linkLocation=https://careers.celestica.com/job/Newmarket-Student-Intern,-Materials-Engineering-Lab-ON/1439146033/, friendlyName=View posting</x:v>
      </x:c>
      <x:c r="N6" s="5" t="str">
        <x:v>Official posting requires a formal 16-month university placement and Materials Engineering studies. May 2027 start; Newmarket site.</x:v>
      </x:c>
    </x:row>
    <x:row r="7" ht="66" customHeight="1">
      <x:c r="A7" s="5" t="str">
        <x:v>Celestica</x:v>
      </x:c>
      <x:c r="B7" s="5" t="str">
        <x:v>Student Intern, Test Development</x:v>
      </x:c>
      <x:c r="C7" s="5" t="str">
        <x:v>Newmarket, ON</x:v>
      </x:c>
      <x:c r="D7" s="5" t="str">
        <x:v>May 2027</x:v>
      </x:c>
      <x:c r="E7" s="5" t="str">
        <x:v>16 months</x:v>
      </x:c>
      <x:c r="F7" s="5" t="str">
        <x:v>Local automation/testing role, but the listed disciplines are electrical, mechatronics, computer engineering or computer science.</x:v>
      </x:c>
      <x:c r="G7" s="5" t="str">
        <x:v>Retained under broader engineering scope. Ask whether a Mechanical Engineering student is eligible; listed degrees differ.</x:v>
      </x:c>
      <x:c r="H7" s="5" t="str">
        <x:v>CAD 23–30/hour</x:v>
      </x:c>
      <x:c r="I7" s="5" t="str">
        <x:v>Not stated</x:v>
      </x:c>
      <x:c r="J7" s="5" t="str">
        <x:v>140848</x:v>
      </x:c>
      <x:c r="K7" s="9" t="n">
        <x:v>46288</x:v>
      </x:c>
      <x:c r="L7" s="9" t="n">
        <x:v>46288</x:v>
      </x:c>
      <x:c r="M7" s="10" t="e">
        <x:f>HYPERLINK("https://careers.celestica.com/job/Newmarket-Student-Intern%2C-Test-Development-ON/1439151233/","View posting")</x:f>
        <x:v>HYPERLINK is not implemented. linkLocation=https://careers.celestica.com/job/Newmarket-Student-Intern%2C-Test-Development-ON/1439151233/, friendlyName=View posting</x:v>
      </x:c>
      <x:c r="N7" s="5" t="str">
        <x:v>Official indexed posting specifies 16 months from May 2027 and lists eligible degrees without Mechanical Engineering.</x:v>
      </x:c>
    </x:row>
    <x:row r="8" ht="66" customHeight="1">
      <x:c r="A8" s="5" t="str">
        <x:v>Multimatic</x:v>
      </x:c>
      <x:c r="B8" s="5" t="str">
        <x:v>Welding Support Co-op</x:v>
      </x:c>
      <x:c r="C8" s="5" t="str">
        <x:v>East Gwillimbury, ON</x:v>
      </x:c>
      <x:c r="D8" s="5" t="str">
        <x:v>Not confirmed</x:v>
      </x:c>
      <x:c r="E8" s="5" t="str">
        <x:v>Not confirmed</x:v>
      </x:c>
      <x:c r="F8" s="5" t="str">
        <x:v>Local lead involving weld processes, mechanical systems, equipment troubleshooting and maintenance. Duration and start are absent from the indexed copy.</x:v>
      </x:c>
      <x:c r="G8" s="5" t="str">
        <x:v>Check official posting and confirm duration, start date and suitability for a university mechanical student.</x:v>
      </x:c>
      <x:c r="H8" s="5" t="str">
        <x:v>Not stated</x:v>
      </x:c>
      <x:c r="I8" s="5" t="str">
        <x:v>Not stated</x:v>
      </x:c>
      <x:c r="J8" s="5" t="str">
        <x:v>JR103258</x:v>
      </x:c>
      <x:c r="K8" s="9" t="n">
        <x:v>46288</x:v>
      </x:c>
      <x:c r="L8" s="9"/>
      <x:c r="M8" s="10" t="e">
        <x:f>HYPERLINK("https://multimatic.wd10.myworkdayjobs.com/en-US/MMEC/job/East-Gwillimbury-Ontario/Welding-Support-Co-op_JR103258","View posting")</x:f>
        <x:v>HYPERLINK is not implemented. linkLocation=https://multimatic.wd10.myworkdayjobs.com/en-US/MMEC/job/East-Gwillimbury-Ontario/Welding-Support-Co-op_JR103258, friendlyName=View posting</x:v>
      </x:c>
      <x:c r="N8" s="5" t="str">
        <x:v>Discovered through YubHub, which links this employer requisition. Direct employer retrieval failed. No verified 12/16-month or May 2027 evidence.</x:v>
      </x:c>
    </x:row>
    <x:row r="9" ht="66" customHeight="1">
      <x:c r="A9" s="5" t="str">
        <x:v>Construction Demathieu &amp; Bard</x:v>
      </x:c>
      <x:c r="B9" s="5" t="str">
        <x:v>Student Co-op: Junior Project Coordinator – May 2027</x:v>
      </x:c>
      <x:c r="C9" s="5" t="str">
        <x:v>Ontario project sites; Peterborough head office</x:v>
      </x:c>
      <x:c r="D9" s="5" t="str">
        <x:v>May 2027</x:v>
      </x:c>
      <x:c r="E9" s="5" t="str">
        <x:v>1–4 terms (4–16 months); confirm 12/16 assignment</x:v>
      </x:c>
      <x:c r="F9" s="5" t="str">
        <x:v>Construction project coordination, inspections and site measurement. Civil/Construction Engineering students requested; personal vehicle and licence required. Employer says rental accommodation covered.</x:v>
      </x:c>
      <x:c r="G9" s="5" t="str">
        <x:v>Confirm Mechanical Engineering eligibility, work site and 12/16-month assignment.</x:v>
      </x:c>
      <x:c r="H9" s="5" t="str">
        <x:v>CAD 17.60–23.90/hour</x:v>
      </x:c>
      <x:c r="I9" s="5" t="str">
        <x:v>Not stated</x:v>
      </x:c>
      <x:c r="J9" s="5" t="str">
        <x:v>48194</x:v>
      </x:c>
      <x:c r="K9" s="9" t="n">
        <x:v>46288</x:v>
      </x:c>
      <x:c r="L9" s="9" t="n">
        <x:v>46288</x:v>
      </x:c>
      <x:c r="M9" s="10" t="e">
        <x:f>HYPERLINK("https://cdb.applytojobs.ca/ontario/48194","View posting")</x:f>
        <x:v>HYPERLINK is not implemented. linkLocation=https://cdb.applytojobs.ca/ontario/48194, friendlyName=View posting</x:v>
      </x:c>
      <x:c r="N9" s="5" t="str">
        <x:v>Employer job board read 2026-09-23: May 2027, 1–4 terms, Ontario project sites. Posting also mentions a June interview period without a clear year; timing needs confirmation.</x:v>
      </x:c>
    </x:row>
    <x:row r="10" ht="66" customHeight="1">
      <x:c r="A10" s="5" t="str">
        <x:v>EMS-Tech</x:v>
      </x:c>
      <x:c r="B10" s="5" t="str">
        <x:v>Civil/Structural Engineering Co-op/Internship</x:v>
      </x:c>
      <x:c r="C10" s="5" t="str">
        <x:v>Belleville, ON (unverified)</x:v>
      </x:c>
      <x:c r="D10" s="5" t="str">
        <x:v>May 2027 (indexed claim)</x:v>
      </x:c>
      <x:c r="E10" s="5" t="str">
        <x:v>May 2027–May 2028; extension wording inconsistent</x:v>
      </x:c>
      <x:c r="F10" s="5" t="str">
        <x:v>Bulk material-handling equipment and conveyor projects; civil/structural engineering lead. Aggregator description also mentions electrical tasks, so scope needs confirmation.</x:v>
      </x:c>
      <x:c r="G10" s="5" t="str">
        <x:v>Find the employer posting and confirm term, duties and accepted degree.</x:v>
      </x:c>
      <x:c r="H10" s="5" t="str">
        <x:v>Not stated</x:v>
      </x:c>
      <x:c r="I10" s="5" t="str">
        <x:v>Not stated</x:v>
      </x:c>
      <x:c r="J10" s="5" t="str">
        <x:v>Not stated</x:v>
      </x:c>
      <x:c r="K10" s="9" t="n">
        <x:v>46288</x:v>
      </x:c>
      <x:c r="L10" s="9"/>
      <x:c r="M10" s="10" t="e">
        <x:f>HYPERLINK("https://www.jobless.dev/jobs/civilstructural-engineering-co-opinterns-at-ems-tech-inc-5691aceb","View posting")</x:f>
        <x:v>HYPERLINK is not implemented. linkLocation=https://www.jobless.dev/jobs/civilstructural-engineering-co-opinterns-at-ems-tech-inc-5691aceb, friendlyName=View posting</x:v>
      </x:c>
      <x:c r="N10" s="5" t="str">
        <x:v>Search-index excerpt on 2026-09-23 claims May 2027–May 2028. Its extension length conflicts with the displayed end date. Employer posting not verified.</x:v>
      </x:c>
    </x:row>
    <x:row r="11" ht="66" customHeight="1">
      <x:c r="A11" s="5" t="str">
        <x:v>EMS-Tech</x:v>
      </x:c>
      <x:c r="B11" s="5" t="str">
        <x:v>Mechanical Engineering Co-op/Internship</x:v>
      </x:c>
      <x:c r="C11" s="5" t="str">
        <x:v>Belleville, ON (unverified)</x:v>
      </x:c>
      <x:c r="D11" s="5" t="str">
        <x:v>May 2027 (indexed claim)</x:v>
      </x:c>
      <x:c r="E11" s="5" t="str">
        <x:v>12-month option claimed; extension inconsistent</x:v>
      </x:c>
      <x:c r="F11" s="5" t="str">
        <x:v>Mechanical equipment design and drawings for bulk handling systems. Third/fourth-year Mechanical Engineering students sought. More promising individual fit than the electrical-only leads.</x:v>
      </x:c>
      <x:c r="G11" s="5" t="str">
        <x:v>Verify Belleville opening and 12-month term at https://ems-tech.net/careers/.</x:v>
      </x:c>
      <x:c r="H11" s="5" t="str">
        <x:v>CAD 23–27/hour (aggregator claim)</x:v>
      </x:c>
      <x:c r="I11" s="5" t="str">
        <x:v>Not stated</x:v>
      </x:c>
      <x:c r="J11" s="5" t="str">
        <x:v>Belleville-mechanical-May2027</x:v>
      </x:c>
      <x:c r="K11" s="9" t="n">
        <x:v>46288</x:v>
      </x:c>
      <x:c r="L11" s="9"/>
      <x:c r="M11" s="10" t="e">
        <x:f>HYPERLINK("https://www.jobless.dev/jobs/mechanical-engineering-co-opinternship-at-ems-tech-inc-518b11a2","View posting")</x:f>
        <x:v>HYPERLINK is not implemented. linkLocation=https://www.jobless.dev/jobs/mechanical-engineering-co-opinternship-at-ems-tech-inc-518b11a2, friendlyName=View posting</x:v>
      </x:c>
      <x:c r="N11" s="5" t="str">
        <x:v>Two indexed aggregators identify Belleville and May 2027–May 2028. A separate Burnaby vacancy exists: confirm the exact location and term through the employer careers page. Extension wording conflicts.</x:v>
      </x:c>
    </x:row>
    <x:row r="12" ht="66" customHeight="1">
      <x:c r="A12" s="5" t="str">
        <x:v>Geotab</x:v>
      </x:c>
      <x:c r="B12" s="5" t="str">
        <x:v>Mechanical Engineering Intern (Summer/May 2027, 16 Months)</x:v>
      </x:c>
      <x:c r="C12" s="5" t="str">
        <x:v>Oakville, ON</x:v>
      </x:c>
      <x:c r="D12" s="5" t="str">
        <x:v>May 2027 (indexed copy)</x:v>
      </x:c>
      <x:c r="E12" s="5" t="str">
        <x:v>16 months</x:v>
      </x:c>
      <x:c r="F12" s="5" t="str">
        <x:v>Excellent subject match: SolidWorks drawings, harnesses, prototypes, jig tooling and tolerance analysis. Current availability needs checking.</x:v>
      </x:c>
      <x:c r="G12" s="5" t="str">
        <x:v>Verify availability through Geotab careers. Do not rely on aggregator suggested application dates.</x:v>
      </x:c>
      <x:c r="H12" s="5" t="str">
        <x:v>CAD 28–36/hour (indexed copy)</x:v>
      </x:c>
      <x:c r="I12" s="5" t="str">
        <x:v>Not stated</x:v>
      </x:c>
      <x:c r="J12" s="5" t="str">
        <x:v>5371916008</x:v>
      </x:c>
      <x:c r="K12" s="9" t="n">
        <x:v>46288</x:v>
      </x:c>
      <x:c r="L12" s="9"/>
      <x:c r="M12" s="10" t="e">
        <x:f>HYPERLINK("https://job-boards.greenhouse.io/internshiplist2000/jobs/5371916008","View posting")</x:f>
        <x:v>HYPERLINK is not implemented. linkLocation=https://job-boards.greenhouse.io/internshiplist2000/jobs/5371916008, friendlyName=View posting</x:v>
      </x:c>
      <x:c r="N12" s="5" t="str">
        <x:v>Indexed Greenhouse and aggregator text describe May 2027 for 16 months. Opening the linked job redirects to the internship board with error=true; the current list did not show this role.</x:v>
      </x:c>
    </x:row>
    <x:row r="13" ht="66" customHeight="1">
      <x:c r="A13" s="5" t="str">
        <x:v>Hatch</x:v>
      </x:c>
      <x:c r="B13" s="5" t="str">
        <x:v>Mechanical Engineering Student, Technologies</x:v>
      </x:c>
      <x:c r="C13" s="5" t="str">
        <x:v>Mississauga, ON</x:v>
      </x:c>
      <x:c r="D13" s="5" t="str">
        <x:v>Spring 2027; month unconfirmed</x:v>
      </x:c>
      <x:c r="E13" s="5" t="str">
        <x:v>16 months</x:v>
      </x:c>
      <x:c r="F13" s="5" t="str">
        <x:v>Mechanical design, finite element and thermal analysis, hydraulics and cooling systems. Explicitly seeks third- or fourth-year mechanical students.</x:v>
      </x:c>
      <x:c r="G13" s="5" t="str">
        <x:v>Confirm a May 2027-or-later start before treating this as a match. Transcript required.</x:v>
      </x:c>
      <x:c r="H13" s="5" t="str">
        <x:v>Posted range 25–33; pay period not stated</x:v>
      </x:c>
      <x:c r="I13" s="5" t="str">
        <x:v>Not stated</x:v>
      </x:c>
      <x:c r="J13" s="5" t="str">
        <x:v>101580</x:v>
      </x:c>
      <x:c r="K13" s="9" t="n">
        <x:v>46288</x:v>
      </x:c>
      <x:c r="L13" s="9" t="n">
        <x:v>46288</x:v>
      </x:c>
      <x:c r="M13" s="10" t="e">
        <x:f>HYPERLINK("https://jobs.hatch.com/job/Mississauga-Mechanical-Engineering-Student,-Technologies-ON/1427991600/","View posting")</x:f>
        <x:v>HYPERLINK is not implemented. linkLocation=https://jobs.hatch.com/job/Mississauga-Mechanical-Engineering-Student,-Technologies-ON/1427991600/, friendlyName=View posting</x:v>
      </x:c>
      <x:c r="N13" s="5" t="str">
        <x:v>Official posting specifies Spring 2027 and a 16-month placement. It does not give an exact start month. Aggregator Winter 2027 wording conflicts; employer wording takes precedence.</x:v>
      </x:c>
    </x:row>
    <x:row r="14" ht="66" customHeight="1">
      <x:c r="A14" s="5" t="str">
        <x:v>Rocket Lab</x:v>
      </x:c>
      <x:c r="B14" s="5" t="str">
        <x:v>Mechanical Engineering Intern Summer 2027</x:v>
      </x:c>
      <x:c r="C14" s="5" t="str">
        <x:v>Toronto, ON</x:v>
      </x:c>
      <x:c r="D14" s="5" t="str">
        <x:v>May 3, 2027</x:v>
      </x:c>
      <x:c r="E14" s="5" t="str">
        <x:v>Minimum 16 weeks; 12/16 months unconfirmed</x:v>
      </x:c>
      <x:c r="F14" s="5" t="str">
        <x:v>Mechanical design/testing of reaction wheels and star trackers; SolidWorks/CAD experience useful. The advertised minimum is a summer placement, not confirmed as 12/16 months.</x:v>
      </x:c>
      <x:c r="G14" s="5" t="str">
        <x:v>Only pursue if employer confirms a 12- or 16-month term. Requires a remaining school semester and GPA of at least 3.0.</x:v>
      </x:c>
      <x:c r="H14" s="5" t="str">
        <x:v>Not stated</x:v>
      </x:c>
      <x:c r="I14" s="5" t="str">
        <x:v>Not stated</x:v>
      </x:c>
      <x:c r="J14" s="5" t="str">
        <x:v>7991769003</x:v>
      </x:c>
      <x:c r="K14" s="9" t="n">
        <x:v>46288</x:v>
      </x:c>
      <x:c r="L14" s="9" t="n">
        <x:v>46288</x:v>
      </x:c>
      <x:c r="M14" s="10" t="e">
        <x:f>HYPERLINK("https://rocketlabcorp.com/careers/positions/mechanical-engineering-intern-summer-2027-toronto-can-7991769003/","View posting")</x:f>
        <x:v>HYPERLINK is not implemented. linkLocation=https://rocketlabcorp.com/careers/positions/mechanical-engineering-intern-summer-2027-toronto-can-7991769003/, friendlyName=View posting</x:v>
      </x:c>
      <x:c r="N14" s="5" t="str">
        <x:v>Official posting states at least 16 consecutive weeks beginning May 3, 2027. Sixteen weeks must not be interpreted as sixteen months.</x:v>
      </x:c>
    </x:row>
    <x:row r="15" ht="66" customHeight="1">
      <x:c r="A15" s="5" t="str">
        <x:v>Skyworks</x:v>
      </x:c>
      <x:c r="B15" s="5" t="str">
        <x:v>RFIC Design – 12-month Co-op</x:v>
      </x:c>
      <x:c r="C15" s="5" t="str">
        <x:v>Ottawa, ON</x:v>
      </x:c>
      <x:c r="D15" s="5" t="str">
        <x:v>May 2027</x:v>
      </x:c>
      <x:c r="E15" s="5" t="str">
        <x:v>12 months: May 2027–April 2028</x:v>
      </x:c>
      <x:c r="F15" s="5" t="str">
        <x:v>RF/analog circuit and Wi-Fi module design, laboratory characterization and validation. Electrical Engineering, Engineering Physics, Physics or related studies requested.</x:v>
      </x:c>
      <x:c r="G15" s="5" t="str">
        <x:v>Confirm Mechanical Engineering eligibility and electronics preparation; relocation would be required.</x:v>
      </x:c>
      <x:c r="H15" s="5" t="str">
        <x:v>CAD 25–44/hour</x:v>
      </x:c>
      <x:c r="I15" s="5" t="str">
        <x:v>Not stated</x:v>
      </x:c>
      <x:c r="J15" s="5" t="str">
        <x:v>78401</x:v>
      </x:c>
      <x:c r="K15" s="9" t="n">
        <x:v>46288</x:v>
      </x:c>
      <x:c r="L15" s="9" t="n">
        <x:v>46288</x:v>
      </x:c>
      <x:c r="M15" s="10" t="e">
        <x:f>HYPERLINK("https://careers.skyworksinc.com/job/RFIC-Design-12-month-Co-op-%28May-%26apos%3B27-April-%26apos%3B28%29/78401-en_US/","View posting")</x:f>
        <x:v>HYPERLINK is not implemented. linkLocation=https://careers.skyworksinc.com/job/RFIC-Design-12-month-Co-op-%28May-%26apos%3B27-April-%26apos%3B28%29/78401-en_US/, friendlyName=View posting</x:v>
      </x:c>
      <x:c r="N15" s="5" t="str">
        <x:v>Official employer page checked 2026-09-23; Ottawa, 12 months from May 2027 to April 2028. Degree and RF circuit knowledge requirements need individual review.</x:v>
      </x:c>
    </x:row>
    <x:row r="16" ht="66" customHeight="1">
      <x:c r="A16" s="5" t="str">
        <x:v>Skyworks</x:v>
      </x:c>
      <x:c r="B16" s="5" t="str">
        <x:v>WiFi FEM Design Co-op</x:v>
      </x:c>
      <x:c r="C16" s="5" t="str">
        <x:v>Ottawa, ON</x:v>
      </x:c>
      <x:c r="D16" s="5" t="str">
        <x:v>May 2027</x:v>
      </x:c>
      <x:c r="E16" s="5" t="str">
        <x:v>12 months: May 2027–April 2028</x:v>
      </x:c>
      <x:c r="F16" s="5" t="str">
        <x:v>RF/analog circuit and Wi-Fi module design, laboratory characterization and validation. Electrical Engineering, Engineering Physics, Physics or related studies requested.</x:v>
      </x:c>
      <x:c r="G16" s="5" t="str">
        <x:v>Confirm Mechanical Engineering eligibility and electronics preparation; relocation would be required.</x:v>
      </x:c>
      <x:c r="H16" s="5" t="str">
        <x:v>CAD 25–44/hour</x:v>
      </x:c>
      <x:c r="I16" s="5" t="str">
        <x:v>Not stated</x:v>
      </x:c>
      <x:c r="J16" s="5" t="str">
        <x:v>78110</x:v>
      </x:c>
      <x:c r="K16" s="9" t="n">
        <x:v>46288</x:v>
      </x:c>
      <x:c r="L16" s="9" t="n">
        <x:v>46288</x:v>
      </x:c>
      <x:c r="M16" s="10" t="e">
        <x:f>HYPERLINK("https://careers.skyworksinc.com/job/WiFi-FEM-Design-Co-Op-%28May-2027-April-2028%29/78110-en_US/","View posting")</x:f>
        <x:v>HYPERLINK is not implemented. linkLocation=https://careers.skyworksinc.com/job/WiFi-FEM-Design-Co-Op-%28May-2027-April-2028%29/78110-en_US/, friendlyName=View posting</x:v>
      </x:c>
      <x:c r="N16" s="5" t="str">
        <x:v>Official employer page checked 2026-09-23; Ottawa, 12 months from May 2027 to April 2028. Degree and RF circuit knowledge requirements need individual review.</x:v>
      </x:c>
    </x:row>
    <x:row r="19">
      <x:c r="A19" t="str">
        <x:v>All Ontario included. Newmarket proximity is a preference only. Exact workplace distances are unverified.</x:v>
      </x:c>
    </x:row>
    <x:row r="20">
      <x:c r="A20" t="str">
        <x:v>Verified refers to posting criteria, not guaranteed individual eligibility. No applications or emails have been sent.</x:v>
      </x:c>
    </x:row>
  </x:sheetData>
  <x:pageMargins left="0.7" right="0.7" top="0.75" bottom="0.75" header="0.3" footer="0.3"/>
  <x:tableParts count="1">
    <x:tablePart xmlns:r="http://schemas.openxmlformats.org/officeDocument/2006/relationships" r:id="R852e267ef64b4295"/>
  </x:tableParts>
</x:worksheet>
</file>

<file path=xl/worksheets/sheet3.xml><?xml version="1.0" encoding="utf-8"?>
<x:worksheet xmlns:x="http://schemas.openxmlformats.org/spreadsheetml/2006/main">
  <x:sheetPr>
    <x:tabColor rgb="FF86929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46" hidden="0" customWidth="1"/>
    <x:col min="3" max="3" width="23" hidden="0" customWidth="1"/>
    <x:col min="4" max="4" width="24" hidden="0" customWidth="1"/>
    <x:col min="5" max="5" width="24" hidden="0" customWidth="1"/>
    <x:col min="6" max="6" width="66" hidden="0" customWidth="1"/>
    <x:col min="7" max="7" width="60" hidden="0" customWidth="1"/>
    <x:col min="8" max="8" width="31" hidden="0" customWidth="1"/>
    <x:col min="9" max="9" width="25" hidden="0" customWidth="1"/>
    <x:col min="10" max="10" width="21" hidden="0" customWidth="1"/>
    <x:col min="11" max="11" width="18" hidden="0" customWidth="1"/>
    <x:col min="12" max="12" width="18" hidden="0" customWidth="1"/>
    <x:col min="13" max="13" width="20" hidden="0" customWidth="1"/>
    <x:col min="14" max="14" width="72" hidden="0" customWidth="1"/>
  </x:cols>
  <x:sheetData>
    <x:row r="2">
      <x:c r="A2" s="1" t="str">
        <x:v>Engineering co-op search — excluded</x:v>
      </x:c>
    </x:row>
    <x:row r="3">
      <x:c r="A3" s="2" t="str">
        <x:v>Six timing or staleness exclusions retained for reference.</x:v>
      </x:c>
    </x:row>
    <x:row r="5" ht="30" customHeight="1">
      <x:c r="A5" s="8" t="str">
        <x:v>Employer</x:v>
      </x:c>
      <x:c r="B5" s="8" t="str">
        <x:v>Position</x:v>
      </x:c>
      <x:c r="C5" s="8" t="str">
        <x:v>Location</x:v>
      </x:c>
      <x:c r="D5" s="8" t="str">
        <x:v>Start</x:v>
      </x:c>
      <x:c r="E5" s="8" t="str">
        <x:v>Duration</x:v>
      </x:c>
      <x:c r="F5" s="8" t="str">
        <x:v>Assessment</x:v>
      </x:c>
      <x:c r="G5" s="8" t="str">
        <x:v>Next step</x:v>
      </x:c>
      <x:c r="H5" s="8" t="str">
        <x:v>Pay as posted</x:v>
      </x:c>
      <x:c r="I5" s="8" t="str">
        <x:v>Deadline</x:v>
      </x:c>
      <x:c r="J5" s="8" t="str">
        <x:v>Job ID</x:v>
      </x:c>
      <x:c r="K5" s="8" t="str">
        <x:v>First found</x:v>
      </x:c>
      <x:c r="L5" s="8" t="str">
        <x:v>Verified on</x:v>
      </x:c>
      <x:c r="M5" s="8" t="str">
        <x:v>Source link</x:v>
      </x:c>
      <x:c r="N5" s="8" t="str">
        <x:v>Evidence</x:v>
      </x:c>
    </x:row>
    <x:row r="6" ht="66" customHeight="1">
      <x:c r="A6" s="5" t="str">
        <x:v>Novatrend</x:v>
      </x:c>
      <x:c r="B6" s="5" t="str">
        <x:v>Mech. Internship (16 months)</x:v>
      </x:c>
      <x:c r="C6" s="5" t="str">
        <x:v>Richmond Hill, ON</x:v>
      </x:c>
      <x:c r="D6" s="5" t="str">
        <x:v>April 2022</x:v>
      </x:c>
      <x:c r="E6" s="5" t="str">
        <x:v>16 months</x:v>
      </x:c>
      <x:c r="F6" s="5" t="str">
        <x:v>HVAC/mechanical drafting page remains searchable but carries an old start date.</x:v>
      </x:c>
      <x:c r="G6" s="5" t="str">
        <x:v>Retain employer for discovery; do not apply to this as a current 2027 placement.</x:v>
      </x:c>
      <x:c r="H6" s="5" t="str">
        <x:v>Not stated</x:v>
      </x:c>
      <x:c r="I6" s="5" t="str">
        <x:v>Not stated</x:v>
      </x:c>
      <x:c r="J6" s="5" t="str">
        <x:v>legacy-april-2022</x:v>
      </x:c>
      <x:c r="K6" s="9" t="n">
        <x:v>46288</x:v>
      </x:c>
      <x:c r="L6" s="9" t="n">
        <x:v>46288</x:v>
      </x:c>
      <x:c r="M6" s="10" t="e">
        <x:f>HYPERLINK("https://www.novatrend.ca/careers/blog-post-title-one-z6afa-wnbj8","View posting")</x:f>
        <x:v>HYPERLINK is not implemented. linkLocation=https://www.novatrend.ca/careers/blog-post-title-one-z6afa-wnbj8, friendlyName=View posting</x:v>
      </x:c>
      <x:c r="N6" s="5" t="str">
        <x:v>Official page explicitly states an approximate April 2022 start. Recent search crawling is not a new posting.</x:v>
      </x:c>
    </x:row>
    <x:row r="7" ht="66" customHeight="1">
      <x:c r="A7" s="5" t="str">
        <x:v>Tesla</x:v>
      </x:c>
      <x:c r="B7" s="5" t="str">
        <x:v>Internship, Mechanical Design Engineer, Cell Engineering (Winter/Spring 2027)</x:v>
      </x:c>
      <x:c r="C7" s="5" t="str">
        <x:v>Richmond Hill, ON</x:v>
      </x:c>
      <x:c r="D7" s="5" t="str">
        <x:v>January 2027</x:v>
      </x:c>
      <x:c r="E7" s="5" t="str">
        <x:v>Not confirmed</x:v>
      </x:c>
      <x:c r="F7" s="5" t="str">
        <x:v>Relevant local mechanical design work but January start and a 12-week minimum do not meet the requested term.</x:v>
      </x:c>
      <x:c r="G7" s="5" t="str">
        <x:v>Monitor for a May 2027 long-term posting.</x:v>
      </x:c>
      <x:c r="H7" s="5" t="str">
        <x:v>Not stated</x:v>
      </x:c>
      <x:c r="I7" s="5" t="str">
        <x:v>Not stated</x:v>
      </x:c>
      <x:c r="J7" s="5" t="str">
        <x:v>4458274064</x:v>
      </x:c>
      <x:c r="K7" s="9" t="n">
        <x:v>46288</x:v>
      </x:c>
      <x:c r="L7" s="9"/>
      <x:c r="M7" s="10" t="e">
        <x:f>HYPERLINK("https://ca.linkedin.com/jobs/view/internship-mechanical-design-engineer-cell-engineering-winter-spring-2027-at-tesla-4458274064","View posting")</x:f>
        <x:v>HYPERLINK is not implemented. linkLocation=https://ca.linkedin.com/jobs/view/internship-mechanical-design-engineer-cell-engineering-winter-spring-2027-at-tesla-4458274064, friendlyName=View posting</x:v>
      </x:c>
      <x:c r="N7" s="5" t="str">
        <x:v>LinkedIn copy gives January 2027 start and minimum 12 weeks.</x:v>
      </x:c>
    </x:row>
    <x:row r="8" ht="66" customHeight="1">
      <x:c r="A8" s="5" t="str">
        <x:v>WSP</x:v>
      </x:c>
      <x:c r="B8" s="5" t="str">
        <x:v>Intern, Mechanical Engineering – Winter 2027</x:v>
      </x:c>
      <x:c r="C8" s="5" t="str">
        <x:v>Vaughan, ON</x:v>
      </x:c>
      <x:c r="D8" s="5" t="str">
        <x:v>Winter 2027</x:v>
      </x:c>
      <x:c r="E8" s="5" t="str">
        <x:v>8/12/16 months</x:v>
      </x:c>
      <x:c r="F8" s="5" t="str">
        <x:v>Relevant HVAC, plumbing and building mechanical systems work; winter intake conflicts with availability.</x:v>
      </x:c>
      <x:c r="G8" s="5" t="str">
        <x:v>Monitor future May intake.</x:v>
      </x:c>
      <x:c r="H8" s="5" t="str">
        <x:v>Not stated</x:v>
      </x:c>
      <x:c r="I8" s="5" t="str">
        <x:v>Not stated</x:v>
      </x:c>
      <x:c r="J8" s="5" t="str">
        <x:v>4458314013</x:v>
      </x:c>
      <x:c r="K8" s="9" t="n">
        <x:v>46288</x:v>
      </x:c>
      <x:c r="L8" s="9"/>
      <x:c r="M8" s="10" t="e">
        <x:f>HYPERLINK("https://ca.linkedin.com/jobs/view/intern-mechanical-engineering-winter-2027-at-wsp-in-canada-4458314013","View posting")</x:f>
        <x:v>HYPERLINK is not implemented. linkLocation=https://ca.linkedin.com/jobs/view/intern-mechanical-engineering-winter-2027-at-wsp-in-canada-4458314013, friendlyName=View posting</x:v>
      </x:c>
      <x:c r="N8" s="5" t="str">
        <x:v>LinkedIn employer listing identifies Winter 2027 and 8, 12 or 16 months.</x:v>
      </x:c>
    </x:row>
    <x:row r="9" ht="66" customHeight="1">
      <x:c r="A9" s="5" t="str">
        <x:v>General Motors</x:v>
      </x:c>
      <x:c r="B9" s="5" t="str">
        <x:v>2027 Winter Co-op – CCA Manufacturing Engineering</x:v>
      </x:c>
      <x:c r="C9" s="5" t="str">
        <x:v>Oshawa, ON</x:v>
      </x:c>
      <x:c r="D9" s="5" t="str">
        <x:v>January 2027</x:v>
      </x:c>
      <x:c r="E9" s="5" t="str">
        <x:v>8/12 months</x:v>
      </x:c>
      <x:c r="F9" s="5" t="str">
        <x:v>Relevant manufacturing/automation work accepting third- or fourth-year mechanical students, but starts too early.</x:v>
      </x:c>
      <x:c r="G9" s="5" t="str">
        <x:v>Monitor for a later May intake.</x:v>
      </x:c>
      <x:c r="H9" s="5" t="str">
        <x:v>Not stated</x:v>
      </x:c>
      <x:c r="I9" s="5" t="str">
        <x:v>Not stated</x:v>
      </x:c>
      <x:c r="J9" s="5" t="str">
        <x:v>JR-202618667</x:v>
      </x:c>
      <x:c r="K9" s="9" t="n">
        <x:v>46288</x:v>
      </x:c>
      <x:c r="L9" s="9" t="n">
        <x:v>46288</x:v>
      </x:c>
      <x:c r="M9" s="10" t="e">
        <x:f>HYPERLINK("https://search-careers.gm.com/en/jobs/jr-202618667/2027-winter-co-op-cca-manufacturing-engineering/","View posting")</x:f>
        <x:v>HYPERLINK is not implemented. linkLocation=https://search-careers.gm.com/en/jobs/jr-202618667/2027-winter-co-op-cca-manufacturing-engineering/, friendlyName=View posting</x:v>
      </x:c>
      <x:c r="N9" s="5" t="str">
        <x:v>Official listing specifies January 2027 start and 8 or 12 months.</x:v>
      </x:c>
    </x:row>
    <x:row r="10" ht="66" customHeight="1">
      <x:c r="A10" s="5" t="str">
        <x:v>Hitachi Rail</x:v>
      </x:c>
      <x:c r="B10" s="5" t="str">
        <x:v>Electro-Mechanical Engineering Intern (Fall 2026, 16 months)</x:v>
      </x:c>
      <x:c r="C10" s="5" t="str">
        <x:v>Scarborough, ON</x:v>
      </x:c>
      <x:c r="D10" s="5" t="str">
        <x:v>September 2026</x:v>
      </x:c>
      <x:c r="E10" s="5" t="str">
        <x:v>16 months</x:v>
      </x:c>
      <x:c r="F10" s="5" t="str">
        <x:v>Relevant mechanical/electrical subsystem support, but the term is already underway.</x:v>
      </x:c>
      <x:c r="G10" s="5" t="str">
        <x:v>Monitor for a new May intake.</x:v>
      </x:c>
      <x:c r="H10" s="5" t="str">
        <x:v>Not stated</x:v>
      </x:c>
      <x:c r="I10" s="5" t="str">
        <x:v>Not stated</x:v>
      </x:c>
      <x:c r="J10" s="5" t="str">
        <x:v>R0139829</x:v>
      </x:c>
      <x:c r="K10" s="9" t="n">
        <x:v>46288</x:v>
      </x:c>
      <x:c r="L10" s="9" t="n">
        <x:v>46288</x:v>
      </x:c>
      <x:c r="M10" s="10" t="e">
        <x:f>HYPERLINK("https://hitachi.wd1.myworkdayjobs.com/en-US/hitachi/job/Electro-Mechanical-Engineering-Intern--Fall-2026--16-months-_R0139829","View posting")</x:f>
        <x:v>HYPERLINK is not implemented. linkLocation=https://hitachi.wd1.myworkdayjobs.com/en-US/hitachi/job/Electro-Mechanical-Engineering-Intern--Fall-2026--16-months-_R0139829, friendlyName=View posting</x:v>
      </x:c>
      <x:c r="N10" s="5" t="str">
        <x:v>Employer indexed text states September 2026–December 2027.</x:v>
      </x:c>
    </x:row>
    <x:row r="11" ht="66" customHeight="1">
      <x:c r="A11" s="5" t="str">
        <x:v>L3Harris</x:v>
      </x:c>
      <x:c r="B11" s="5" t="str">
        <x:v>Electro-Mechanical Technician Co-op</x:v>
      </x:c>
      <x:c r="C11" s="5" t="str">
        <x:v>Waterdown, ON</x:v>
      </x:c>
      <x:c r="D11" s="5" t="str">
        <x:v>January 2027</x:v>
      </x:c>
      <x:c r="E11" s="5" t="str">
        <x:v>12 months</x:v>
      </x:c>
      <x:c r="F11" s="5" t="str">
        <x:v>Electromechanical work, but this particular role seeks college technician/technologist students and starts in January.</x:v>
      </x:c>
      <x:c r="G11" s="5" t="str">
        <x:v>Monitor university mechanical-engineering placements for May.</x:v>
      </x:c>
      <x:c r="H11" s="5" t="str">
        <x:v>Not stated</x:v>
      </x:c>
      <x:c r="I11" s="5" t="str">
        <x:v>Not stated</x:v>
      </x:c>
      <x:c r="J11" s="5" t="str">
        <x:v>43738</x:v>
      </x:c>
      <x:c r="K11" s="9" t="n">
        <x:v>46288</x:v>
      </x:c>
      <x:c r="L11" s="9" t="n">
        <x:v>46288</x:v>
      </x:c>
      <x:c r="M11" s="10" t="e">
        <x:f>HYPERLINK("https://jobs.l3harris.com/job/Waterdown-Electro-Mechanical-Technician-Co-op-ON-L9H-0C5/1426012200/","View posting")</x:f>
        <x:v>HYPERLINK is not implemented. linkLocation=https://jobs.l3harris.com/job/Waterdown-Electro-Mechanical-Technician-Co-op-ON-L9H-0C5/1426012200/, friendlyName=View posting</x:v>
      </x:c>
      <x:c r="N11" s="5" t="str">
        <x:v>Official listing explicitly runs January through December 2027 and targets diploma students.</x:v>
      </x:c>
    </x:row>
    <x:row r="14">
      <x:c r="A14" t="str">
        <x:v>All Ontario included. Newmarket proximity is a preference only. Exact workplace distances are unverified.</x:v>
      </x:c>
    </x:row>
    <x:row r="15">
      <x:c r="A15" t="str">
        <x:v>Verified refers to posting criteria, not guaranteed individual eligibility. No applications or emails have been sent.</x:v>
      </x:c>
    </x:row>
  </x:sheetData>
  <x:pageMargins left="0.7" right="0.7" top="0.75" bottom="0.75" header="0.3" footer="0.3"/>
  <x:tableParts count="1">
    <x:tablePart xmlns:r="http://schemas.openxmlformats.org/officeDocument/2006/relationships" r:id="R52d907dfe72747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44" hidden="0" customWidth="1"/>
    <x:col min="3" max="3" width="88" hidden="0" customWidth="1"/>
    <x:col min="4" max="4" width="18" hidden="0" customWidth="1"/>
    <x:col min="5" max="5" width="70" hidden="0" customWidth="1"/>
  </x:cols>
  <x:sheetData>
    <x:row r="2">
      <x:c r="A2" s="1" t="str">
        <x:v>Search coverage and access gaps</x:v>
      </x:c>
    </x:row>
    <x:row r="3">
      <x:c r="A3" s="2" t="str">
        <x:v>All ten supplied sources attempted, plus wider discovery. Partial access must not be interpreted as no vacancies.</x:v>
      </x:c>
    </x:row>
    <x:row r="5" ht="30" customHeight="1">
      <x:c r="A5" s="8" t="str">
        <x:v>Source</x:v>
      </x:c>
      <x:c r="B5" s="8" t="str">
        <x:v>Method</x:v>
      </x:c>
      <x:c r="C5" s="8" t="str">
        <x:v>Outcome / limitation</x:v>
      </x:c>
      <x:c r="D5" s="8" t="str">
        <x:v>Checked on</x:v>
      </x:c>
      <x:c r="E5" s="8" t="str">
        <x:v>Source URL</x:v>
      </x:c>
    </x:row>
    <x:row r="6" ht="42" customHeight="1">
      <x:c r="A6" s="5" t="str">
        <x:v>Celestica</x:v>
      </x:c>
      <x:c r="B6" s="5" t="str">
        <x:v>Official pages + targeted web searches</x:v>
      </x:c>
      <x:c r="C6" s="5" t="str">
        <x:v>Two Newmarket roles retained with discipline eligibility warnings under broadened scope.</x:v>
      </x:c>
      <x:c r="D6" s="9" t="n">
        <x:v>46288</x:v>
      </x:c>
      <x:c r="E6" s="5" t="str">
        <x:v>https://careers.celestica.com/</x:v>
      </x:c>
    </x:row>
    <x:row r="7" ht="42" customHeight="1">
      <x:c r="A7" s="5" t="str">
        <x:v>Multimatic</x:v>
      </x:c>
      <x:c r="B7" s="5" t="str">
        <x:v>Direct access attempted + indexed discovery</x:v>
      </x:c>
      <x:c r="C7" s="5" t="str">
        <x:v>Board/detail retrieval failed. One local welding lead retained for confirmation; no complete inventory.</x:v>
      </x:c>
      <x:c r="D7" s="9" t="n">
        <x:v>46288</x:v>
      </x:c>
      <x:c r="E7" s="5" t="str">
        <x:v>https://multimatic.wd10.myworkdayjobs.com/MMEC</x:v>
      </x:c>
    </x:row>
    <x:row r="8" ht="42" customHeight="1">
      <x:c r="A8" s="5" t="str">
        <x:v>Magna</x:v>
      </x:c>
      <x:c r="B8" s="5" t="str">
        <x:v>Student page + targeted indexed search</x:v>
      </x:c>
      <x:c r="C8" s="5" t="str">
        <x:v>Student page available. Search found September 2026 computer-vision role; no qualifying posting verified.</x:v>
      </x:c>
      <x:c r="D8" s="9" t="n">
        <x:v>46288</x:v>
      </x:c>
      <x:c r="E8" s="5" t="str">
        <x:v>https://www.magna.com/careers/students</x:v>
      </x:c>
    </x:row>
    <x:row r="9" ht="42" customHeight="1">
      <x:c r="A9" s="5" t="str">
        <x:v>Bruce Power</x:v>
      </x:c>
      <x:c r="B9" s="5" t="str">
        <x:v>Board attempt + targeted indexed search</x:v>
      </x:c>
      <x:c r="C9" s="5" t="str">
        <x:v>Board returned no readable listings. Indexed September 2026 student opportunity; May 2027 not verified.</x:v>
      </x:c>
      <x:c r="D9" s="9" t="n">
        <x:v>46288</x:v>
      </x:c>
      <x:c r="E9" s="5" t="str">
        <x:v>https://brucepower.wd3.myworkdayjobs.com/BrucePower</x:v>
      </x:c>
    </x:row>
    <x:row r="10" ht="42" customHeight="1">
      <x:c r="A10" s="5" t="str">
        <x:v>OPG</x:v>
      </x:c>
      <x:c r="B10" s="5" t="str">
        <x:v>Board attempt + several indexed searches</x:v>
      </x:c>
      <x:c r="C10" s="5" t="str">
        <x:v>Student search page inaccessible to reader; no suitable listing verified. Coverage gap, not evidence of no vacancies.</x:v>
      </x:c>
      <x:c r="D10" s="9" t="n">
        <x:v>46288</x:v>
      </x:c>
      <x:c r="E10" s="5" t="str">
        <x:v>https://jobs.opg.com/</x:v>
      </x:c>
    </x:row>
    <x:row r="11" ht="42" customHeight="1">
      <x:c r="A11" s="5" t="str">
        <x:v>Tesla</x:v>
      </x:c>
      <x:c r="B11" s="5" t="str">
        <x:v>Board attempt + indexed LinkedIn discovery</x:v>
      </x:c>
      <x:c r="C11" s="5" t="str">
        <x:v>Board access failed; Richmond Hill January role excluded.</x:v>
      </x:c>
      <x:c r="D11" s="9" t="n">
        <x:v>46288</x:v>
      </x:c>
      <x:c r="E11" s="5" t="str">
        <x:v>https://www.tesla.com/en_CA/careers/search/?type=intern&amp;site=CA</x:v>
      </x:c>
    </x:row>
    <x:row r="12" ht="42" customHeight="1">
      <x:c r="A12" s="5" t="str">
        <x:v>Pratt &amp; Whitney Canada / RTX</x:v>
      </x:c>
      <x:c r="B12" s="5" t="str">
        <x:v>Landing page + targeted indexed search</x:v>
      </x:c>
      <x:c r="C12" s="5" t="str">
        <x:v>Landing page available; found Quebec winter internship, outside geography and term. Ontario inventory not fully retrieved.</x:v>
      </x:c>
      <x:c r="D12" s="9" t="n">
        <x:v>46288</x:v>
      </x:c>
      <x:c r="E12" s="5" t="str">
        <x:v>https://careers.rtx.com/global/en/pratt-and-whitney-canada</x:v>
      </x:c>
    </x:row>
    <x:row r="13" ht="42" customHeight="1">
      <x:c r="A13" s="5" t="str">
        <x:v>Honeywell</x:v>
      </x:c>
      <x:c r="B13" s="5" t="str">
        <x:v>Board attempt + indexed searches</x:v>
      </x:c>
      <x:c r="C13" s="5" t="str">
        <x:v>Board yielded no readable listings; older Kanata internship surfaced. No qualifying role verified.</x:v>
      </x:c>
      <x:c r="D13" s="9" t="n">
        <x:v>46288</x:v>
      </x:c>
      <x:c r="E13" s="5" t="str">
        <x:v>https://careers.honeywell.com/en/sites/Honeywell/jobs?location=Canada</x:v>
      </x:c>
    </x:row>
    <x:row r="14" ht="42" customHeight="1">
      <x:c r="A14" s="5" t="str">
        <x:v>P&amp;G</x:v>
      </x:c>
      <x:c r="B14" s="5" t="str">
        <x:v>Discovery + live employer browser verification</x:v>
      </x:c>
      <x:c r="C14" s="5" t="str">
        <x:v>Verified May 2027 Belleville posting, requisition R000158888; 12-month option available.</x:v>
      </x:c>
      <x:c r="D14" s="9" t="n">
        <x:v>46288</x:v>
      </x:c>
      <x:c r="E14" s="5" t="str">
        <x:v>https://www.pgcareers.com/global/en/locations/canada</x:v>
      </x:c>
    </x:row>
    <x:row r="15" ht="42" customHeight="1">
      <x:c r="A15" s="5" t="str">
        <x:v>AECOM</x:v>
      </x:c>
      <x:c r="B15" s="5" t="str">
        <x:v>Board attempt + indexed searches</x:v>
      </x:c>
      <x:c r="C15" s="5" t="str">
        <x:v>Board loading shell only; Markham May/January graduate role surfaced, not a student placement.</x:v>
      </x:c>
      <x:c r="D15" s="9" t="n">
        <x:v>46288</x:v>
      </x:c>
      <x:c r="E15" s="5" t="str">
        <x:v>https://canada.aecom.jobs/</x:v>
      </x:c>
    </x:row>
    <x:row r="16" ht="42" customHeight="1">
      <x:c r="A16" s="5" t="str">
        <x:v>AMD</x:v>
      </x:c>
      <x:c r="B16" s="5" t="str">
        <x:v>Web discovery + live employer browser verification</x:v>
      </x:c>
      <x:c r="C16" s="5" t="str">
        <x:v>Verified Markham thermal/mechanical role; 16-month date range.</x:v>
      </x:c>
      <x:c r="D16" s="9" t="n">
        <x:v>46288</x:v>
      </x:c>
      <x:c r="E16" s="5" t="str">
        <x:v>https://careers.amd.com/careers-home/jobs/90980</x:v>
      </x:c>
    </x:row>
    <x:row r="17" ht="42" customHeight="1">
      <x:c r="A17" s="5" t="str">
        <x:v>Hatch</x:v>
      </x:c>
      <x:c r="B17" s="5" t="str">
        <x:v>Targeted search + official detail</x:v>
      </x:c>
      <x:c r="C17" s="5" t="str">
        <x:v>16-month Mechanical Technologies role found; Spring start needs month confirmation.</x:v>
      </x:c>
      <x:c r="D17" s="9" t="n">
        <x:v>46288</x:v>
      </x:c>
      <x:c r="E17" s="5" t="str">
        <x:v>https://jobs.hatch.com/</x:v>
      </x:c>
    </x:row>
    <x:row r="18" ht="42" customHeight="1">
      <x:c r="A18" s="5" t="str">
        <x:v>Geotab</x:v>
      </x:c>
      <x:c r="B18" s="5" t="str">
        <x:v>Indexed discovery + live board/detail attempt</x:v>
      </x:c>
      <x:c r="C18" s="5" t="str">
        <x:v>Promising May role redirects to board; availability unresolved. Aggregator deadline not trusted.</x:v>
      </x:c>
      <x:c r="D18" s="9" t="n">
        <x:v>46288</x:v>
      </x:c>
      <x:c r="E18" s="5" t="str">
        <x:v>https://job-boards.greenhouse.io/internshiplist2000</x:v>
      </x:c>
    </x:row>
    <x:row r="19" ht="42" customHeight="1">
      <x:c r="A19" s="5" t="str">
        <x:v>Rocket Lab</x:v>
      </x:c>
      <x:c r="B19" s="5" t="str">
        <x:v>Official detail read</x:v>
      </x:c>
      <x:c r="C19" s="5" t="str">
        <x:v>May start confirmed; only 16-week minimum stated.</x:v>
      </x:c>
      <x:c r="D19" s="9" t="n">
        <x:v>46288</x:v>
      </x:c>
      <x:c r="E19" s="5" t="str">
        <x:v>https://rocketlabcorp.com/careers/</x:v>
      </x:c>
    </x:row>
    <x:row r="20" ht="42" customHeight="1">
      <x:c r="A20" s="5" t="str">
        <x:v>L3Harris</x:v>
      </x:c>
      <x:c r="B20" s="5" t="str">
        <x:v>Official detail read</x:v>
      </x:c>
      <x:c r="C20" s="5" t="str">
        <x:v>January 12-month technician role excluded.</x:v>
      </x:c>
      <x:c r="D20" s="9" t="n">
        <x:v>46288</x:v>
      </x:c>
      <x:c r="E20" s="5" t="str">
        <x:v>https://jobs.l3harris.com/</x:v>
      </x:c>
    </x:row>
    <x:row r="21" ht="42" customHeight="1">
      <x:c r="A21" s="5" t="str">
        <x:v>General Motors</x:v>
      </x:c>
      <x:c r="B21" s="5" t="str">
        <x:v>Official indexed posting</x:v>
      </x:c>
      <x:c r="C21" s="5" t="str">
        <x:v>January 8/12-month manufacturing role excluded.</x:v>
      </x:c>
      <x:c r="D21" s="9" t="n">
        <x:v>46288</x:v>
      </x:c>
      <x:c r="E21" s="5" t="str">
        <x:v>https://search-careers.gm.com/</x:v>
      </x:c>
    </x:row>
    <x:row r="22" ht="42" customHeight="1">
      <x:c r="A22" s="5" t="str">
        <x:v>Novatrend</x:v>
      </x:c>
      <x:c r="B22" s="5" t="str">
        <x:v>Official detail read</x:v>
      </x:c>
      <x:c r="C22" s="5" t="str">
        <x:v>Search returned a 2022 placement. Employer retained, old job excluded.</x:v>
      </x:c>
      <x:c r="D22" s="9" t="n">
        <x:v>46288</x:v>
      </x:c>
      <x:c r="E22" s="5" t="str">
        <x:v>https://www.novatrend.ca/careers</x:v>
      </x:c>
    </x:row>
    <x:row r="23" ht="42" customHeight="1">
      <x:c r="A23" s="5" t="str">
        <x:v>WSP</x:v>
      </x:c>
      <x:c r="B23" s="5" t="str">
        <x:v>Indexed LinkedIn posting</x:v>
      </x:c>
      <x:c r="C23" s="5" t="str">
        <x:v>Vaughan winter role excluded.</x:v>
      </x:c>
      <x:c r="D23" s="9" t="n">
        <x:v>46288</x:v>
      </x:c>
      <x:c r="E23" s="5" t="str">
        <x:v>https://ca.linkedin.com/jobs/view/intern-mechanical-engineering-winter-2027-at-wsp-in-canada-4458314013</x:v>
      </x:c>
    </x:row>
    <x:row r="24" ht="42" customHeight="1">
      <x:c r="A24" s="5" t="str">
        <x:v>Hitachi Rail</x:v>
      </x:c>
      <x:c r="B24" s="5" t="str">
        <x:v>Indexed employer/LinkedIn discovery</x:v>
      </x:c>
      <x:c r="C24" s="5" t="str">
        <x:v>September 2026 role excluded.</x:v>
      </x:c>
      <x:c r="D24" s="9" t="n">
        <x:v>46288</x:v>
      </x:c>
      <x:c r="E24" s="5" t="str">
        <x:v>https://hitachi.wd1.myworkdayjobs.com/</x:v>
      </x:c>
    </x:row>
    <x:row r="25" ht="42" customHeight="1">
      <x:c r="A25" s="5" t="str">
        <x:v>Bombardier</x:v>
      </x:c>
      <x:c r="B25" s="5" t="str">
        <x:v>Targeted official indexed search</x:v>
      </x:c>
      <x:c r="C25" s="5" t="str">
        <x:v>Mississauga Challenger 8/12-month winter placement, starts too early.</x:v>
      </x:c>
      <x:c r="D25" s="9" t="n">
        <x:v>46288</x:v>
      </x:c>
      <x:c r="E25" s="5" t="str">
        <x:v>https://jobs.bombardier.com/</x:v>
      </x:c>
    </x:row>
    <x:row r="26" ht="42" customHeight="1">
      <x:c r="A26" s="5" t="str">
        <x:v>ATS Automation</x:v>
      </x:c>
      <x:c r="B26" s="5" t="str">
        <x:v>Targeted indexed search</x:v>
      </x:c>
      <x:c r="C26" s="5" t="str">
        <x:v>Student-program page found; no qualifying role verified.</x:v>
      </x:c>
      <x:c r="D26" s="9" t="n">
        <x:v>46288</x:v>
      </x:c>
      <x:c r="E26" s="5" t="str">
        <x:v>https://jobs.atsautomation.com/</x:v>
      </x:c>
    </x:row>
    <x:row r="27" ht="42" customHeight="1">
      <x:c r="A27" s="5" t="str">
        <x:v>LinkedIn / Indeed</x:v>
      </x:c>
      <x:c r="B27" s="5" t="str">
        <x:v>Public indexed searches across Ontario</x:v>
      </x:c>
      <x:c r="C27" s="5" t="str">
        <x:v>Used for discovery, not exhaustive board crawling; duplicates and wrong start dates screened.</x:v>
      </x:c>
      <x:c r="D27" s="9" t="n">
        <x:v>46288</x:v>
      </x:c>
      <x:c r="E27" s="5" t="str">
        <x:v>https://ca.linkedin.com/jobs/</x:v>
      </x:c>
    </x:row>
    <x:row r="28" ht="42" customHeight="1">
      <x:c r="A28" s="5" t="str">
        <x:v>Eluta</x:v>
      </x:c>
      <x:c r="B28" s="5" t="str">
        <x:v>Targeted indexed search</x:v>
      </x:c>
      <x:c r="C28" s="5" t="str">
        <x:v>MCW Toronto and S&amp;C leads found without confirmed May long-term terms; revisit.</x:v>
      </x:c>
      <x:c r="D28" s="9" t="n">
        <x:v>46288</x:v>
      </x:c>
      <x:c r="E28" s="5" t="str">
        <x:v>https://www.eluta.ca/</x:v>
      </x:c>
    </x:row>
    <x:row r="29" ht="42" customHeight="1">
      <x:c r="A29" s="5" t="str">
        <x:v>Job Bank</x:v>
      </x:c>
      <x:c r="B29" s="5" t="str">
        <x:v>Targeted indexed search</x:v>
      </x:c>
      <x:c r="C29" s="5" t="str">
        <x:v>Mechanical engineer results mostly regular roles; no qualifying placement verified.</x:v>
      </x:c>
      <x:c r="D29" s="9" t="n">
        <x:v>46288</x:v>
      </x:c>
      <x:c r="E29" s="5" t="str">
        <x:v>https://www.jobbank.gc.ca/</x:v>
      </x:c>
    </x:row>
    <x:row r="30" ht="42" customHeight="1">
      <x:c r="A30" s="5" t="str">
        <x:v>TalentEgg</x:v>
      </x:c>
      <x:c r="B30" s="5" t="str">
        <x:v>Targeted indexed search</x:v>
      </x:c>
      <x:c r="C30" s="5" t="str">
        <x:v>No qualifying role surfaced in this search; not a complete board inventory.</x:v>
      </x:c>
      <x:c r="D30" s="9" t="n">
        <x:v>46288</x:v>
      </x:c>
      <x:c r="E30" s="5" t="str">
        <x:v>https://talentegg.ca/</x:v>
      </x:c>
    </x:row>
    <x:row r="31" ht="42" customHeight="1">
      <x:c r="A31" s="5" t="str">
        <x:v>Additional discovery</x:v>
      </x:c>
      <x:c r="B31" s="5" t="str">
        <x:v>Industry, role, duration and geography web queries</x:v>
      </x:c>
      <x:c r="C31" s="5" t="str">
        <x:v>Also surfaced MacLean, S&amp;C, Saint-Gobain, Skyworks, Johnson Electric, Schaeffler and Toppan; winter, past or discipline-mismatch leads.</x:v>
      </x:c>
      <x:c r="D31" s="9" t="n">
        <x:v>46288</x:v>
      </x:c>
      <x:c r="E31" s="5" t="str">
        <x:v>https://www.google.com/</x:v>
      </x:c>
    </x:row>
    <x:row r="32" ht="42" customHeight="1">
      <x:c r="A32" s="5" t="str">
        <x:v>Skyworks</x:v>
      </x:c>
      <x:c r="B32" s="5" t="str">
        <x:v>Official employer pages</x:v>
      </x:c>
      <x:c r="C32" s="5" t="str">
        <x:v>Two Ottawa May 2027, 12-month roles verified; Mechanical Engineering eligibility uncertain.</x:v>
      </x:c>
      <x:c r="D32" s="9" t="n">
        <x:v>46288</x:v>
      </x:c>
      <x:c r="E32" s="5" t="str">
        <x:v>https://careers.skyworksinc.com/</x:v>
      </x:c>
    </x:row>
    <x:row r="33" ht="42" customHeight="1">
      <x:c r="A33" s="5" t="str">
        <x:v>EMS-Tech</x:v>
      </x:c>
      <x:c r="B33" s="5" t="str">
        <x:v>Search index / aggregator</x:v>
      </x:c>
      <x:c r="C33" s="5" t="str">
        <x:v>One unverified civil/structural lead retained.</x:v>
      </x:c>
      <x:c r="D33" s="9" t="n">
        <x:v>46288</x:v>
      </x:c>
      <x:c r="E33" s="5" t="str">
        <x:v>https://www.jobless.dev/jobs/civilstructural-engineering-co-opinterns-at-ems-tech-inc-5691aceb</x:v>
      </x:c>
    </x:row>
    <x:row r="34" ht="42" customHeight="1">
      <x:c r="A34" s="5" t="str">
        <x:v>Construction Demathieu &amp; Bard</x:v>
      </x:c>
      <x:c r="B34" s="5" t="str">
        <x:v>Employer job board</x:v>
      </x:c>
      <x:c r="C34" s="5" t="str">
        <x:v>May 2027 Ontario project-coordination role with 1–4 terms; degree and assignment require confirmation.</x:v>
      </x:c>
      <x:c r="D34" s="9" t="n">
        <x:v>46288</x:v>
      </x:c>
      <x:c r="E34" s="5" t="str">
        <x:v>https://cdb.applytojobs.ca/ontario/48194</x:v>
      </x:c>
    </x:row>
  </x:sheetData>
  <x:pageMargins left="0.7" right="0.7" top="0.75" bottom="0.75" header="0.3" footer="0.3"/>
  <x:tableParts count="1">
    <x:tablePart xmlns:r="http://schemas.openxmlformats.org/officeDocument/2006/relationships" r:id="R11d41751e3e44ea1"/>
  </x:tableParts>
</x:worksheet>
</file>